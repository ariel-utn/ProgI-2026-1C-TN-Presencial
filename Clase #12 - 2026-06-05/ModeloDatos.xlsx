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TN5-6-2026\"/>
    </mc:Choice>
  </mc:AlternateContent>
  <xr:revisionPtr revIDLastSave="0" documentId="13_ncr:1_{64BC91CC-CB06-47A4-8E6A-9BE73B6A3C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L8" i="1" s="1"/>
  <c r="J7" i="1"/>
  <c r="L7" i="1" s="1"/>
  <c r="J6" i="1"/>
  <c r="L6" i="1" s="1"/>
  <c r="J5" i="1"/>
  <c r="L5" i="1" s="1"/>
  <c r="J4" i="1"/>
  <c r="L4" i="1" s="1"/>
  <c r="J9" i="1"/>
  <c r="L9" i="1" s="1"/>
  <c r="J3" i="1"/>
  <c r="L3" i="1" s="1"/>
  <c r="L11" i="1" s="1"/>
</calcChain>
</file>

<file path=xl/sharedStrings.xml><?xml version="1.0" encoding="utf-8"?>
<sst xmlns="http://schemas.openxmlformats.org/spreadsheetml/2006/main" count="34" uniqueCount="29">
  <si>
    <t>LOTE 1</t>
  </si>
  <si>
    <t>ART</t>
  </si>
  <si>
    <t>PRE</t>
  </si>
  <si>
    <t>LOTE 2</t>
  </si>
  <si>
    <t>SUC</t>
  </si>
  <si>
    <t>CANT</t>
  </si>
  <si>
    <t>CORTE-SALIDA</t>
  </si>
  <si>
    <t>DESORDENADO</t>
  </si>
  <si>
    <t>float vPre[25]</t>
  </si>
  <si>
    <t>ORDENO LOTE 1</t>
  </si>
  <si>
    <t>EN BASE AL COD. ART</t>
  </si>
  <si>
    <t>acumular la cant del art 1</t>
  </si>
  <si>
    <t>acumular la cant del art 2</t>
  </si>
  <si>
    <t>acumular la cant del art 3</t>
  </si>
  <si>
    <t>acumular la cant del art 4</t>
  </si>
  <si>
    <t>acumular la cant del art 5</t>
  </si>
  <si>
    <t>rec</t>
  </si>
  <si>
    <t>acumular la cant  vend de suc 1</t>
  </si>
  <si>
    <t>acumular la cant  vend de suc 2</t>
  </si>
  <si>
    <t>acumular la cant  vend de suc 3</t>
  </si>
  <si>
    <t>acumular la cant  vend de suc 4</t>
  </si>
  <si>
    <t>acumular la cant  vend de suc 5</t>
  </si>
  <si>
    <t xml:space="preserve">codLibro </t>
  </si>
  <si>
    <t>tema</t>
  </si>
  <si>
    <t>pre</t>
  </si>
  <si>
    <t>vTema[200]</t>
  </si>
  <si>
    <t>vPrecio[200]</t>
  </si>
  <si>
    <t>vPTOA[25]</t>
  </si>
  <si>
    <t>vPTOC[10]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</si>
</sst>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0" borderId="0" xfId="0" applyAlignment="1">
      <alignment horizontal="right"/>
    </xf>
    <xf numFmtId="0" fontId="0" fillId="2" borderId="1" xfId="0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opLeftCell="B1" zoomScale="220" zoomScaleNormal="220" workbookViewId="0">
      <selection activeCell="N9" sqref="N9"/>
    </sheetView>
  </sheetViews>
  <sheetFormatPr baseColWidth="10" defaultRowHeight="15" x14ac:dyDescent="0.25"/>
  <cols>
    <col min="3" max="3" width="4" customWidth="1"/>
    <col min="4" max="4" width="8.42578125" customWidth="1"/>
    <col min="5" max="5" width="11.5703125" customWidth="1"/>
    <col min="6" max="6" width="3.42578125" customWidth="1"/>
    <col min="7" max="7" width="12.7109375" customWidth="1"/>
    <col min="8" max="8" width="7.140625" customWidth="1"/>
    <col min="9" max="11" width="6.28515625" customWidth="1"/>
    <col min="12" max="12" width="5.5703125" customWidth="1"/>
    <col min="13" max="13" width="10.5703125" customWidth="1"/>
    <col min="14" max="14" width="5.7109375" customWidth="1"/>
  </cols>
  <sheetData>
    <row r="1" spans="1:15" x14ac:dyDescent="0.25">
      <c r="A1" t="s">
        <v>0</v>
      </c>
      <c r="D1" t="s">
        <v>9</v>
      </c>
      <c r="G1" t="s">
        <v>3</v>
      </c>
      <c r="N1" t="s">
        <v>27</v>
      </c>
    </row>
    <row r="2" spans="1:15" x14ac:dyDescent="0.25">
      <c r="A2" s="3" t="s">
        <v>1</v>
      </c>
      <c r="B2" s="3" t="s">
        <v>2</v>
      </c>
      <c r="D2" t="s">
        <v>10</v>
      </c>
      <c r="G2" s="3" t="s">
        <v>1</v>
      </c>
      <c r="H2" s="3" t="s">
        <v>4</v>
      </c>
      <c r="I2" s="3" t="s">
        <v>5</v>
      </c>
      <c r="J2" s="3" t="s">
        <v>2</v>
      </c>
      <c r="L2" s="6" t="s">
        <v>16</v>
      </c>
      <c r="M2">
        <v>0</v>
      </c>
      <c r="N2" s="5">
        <v>0</v>
      </c>
      <c r="O2" t="s">
        <v>11</v>
      </c>
    </row>
    <row r="3" spans="1:15" x14ac:dyDescent="0.25">
      <c r="A3">
        <v>5</v>
      </c>
      <c r="B3">
        <v>200</v>
      </c>
      <c r="E3" t="s">
        <v>8</v>
      </c>
      <c r="G3">
        <v>5</v>
      </c>
      <c r="H3">
        <v>4</v>
      </c>
      <c r="I3">
        <v>2</v>
      </c>
      <c r="J3">
        <f>B3</f>
        <v>200</v>
      </c>
      <c r="L3">
        <f>I3*J3</f>
        <v>400</v>
      </c>
      <c r="M3">
        <v>1</v>
      </c>
      <c r="N3" s="5">
        <v>0</v>
      </c>
      <c r="O3" t="s">
        <v>12</v>
      </c>
    </row>
    <row r="4" spans="1:15" x14ac:dyDescent="0.25">
      <c r="A4">
        <v>3</v>
      </c>
      <c r="B4">
        <v>175</v>
      </c>
      <c r="D4">
        <v>0</v>
      </c>
      <c r="E4" s="1">
        <v>150</v>
      </c>
      <c r="G4">
        <v>3</v>
      </c>
      <c r="H4">
        <v>3</v>
      </c>
      <c r="I4">
        <v>3</v>
      </c>
      <c r="J4">
        <f>B4</f>
        <v>175</v>
      </c>
      <c r="L4">
        <f t="shared" ref="L4:L9" si="0">I4*J4</f>
        <v>525</v>
      </c>
      <c r="M4">
        <v>2</v>
      </c>
      <c r="N4" s="5">
        <v>0</v>
      </c>
      <c r="O4" t="s">
        <v>13</v>
      </c>
    </row>
    <row r="5" spans="1:15" x14ac:dyDescent="0.25">
      <c r="A5">
        <v>4</v>
      </c>
      <c r="B5">
        <v>215</v>
      </c>
      <c r="C5" s="4"/>
      <c r="D5">
        <v>1</v>
      </c>
      <c r="E5" s="1">
        <v>320</v>
      </c>
      <c r="G5">
        <v>3</v>
      </c>
      <c r="H5">
        <v>4</v>
      </c>
      <c r="I5">
        <v>4</v>
      </c>
      <c r="J5">
        <f>B4</f>
        <v>175</v>
      </c>
      <c r="L5">
        <f t="shared" si="0"/>
        <v>700</v>
      </c>
      <c r="M5">
        <v>3</v>
      </c>
      <c r="N5" s="5">
        <v>0</v>
      </c>
      <c r="O5" t="s">
        <v>14</v>
      </c>
    </row>
    <row r="6" spans="1:15" x14ac:dyDescent="0.25">
      <c r="A6">
        <v>1</v>
      </c>
      <c r="B6">
        <v>150</v>
      </c>
      <c r="C6" s="4"/>
      <c r="D6">
        <v>2</v>
      </c>
      <c r="E6" s="1">
        <v>175</v>
      </c>
      <c r="G6">
        <v>2</v>
      </c>
      <c r="H6">
        <v>5</v>
      </c>
      <c r="I6">
        <v>7</v>
      </c>
      <c r="J6">
        <f>B7</f>
        <v>320</v>
      </c>
      <c r="L6">
        <f t="shared" si="0"/>
        <v>2240</v>
      </c>
      <c r="M6">
        <v>4</v>
      </c>
      <c r="N6" s="5">
        <v>0</v>
      </c>
      <c r="O6" t="s">
        <v>15</v>
      </c>
    </row>
    <row r="7" spans="1:15" x14ac:dyDescent="0.25">
      <c r="A7">
        <v>2</v>
      </c>
      <c r="B7">
        <v>320</v>
      </c>
      <c r="C7" s="4"/>
      <c r="D7" s="4">
        <v>3</v>
      </c>
      <c r="E7" s="1">
        <v>215</v>
      </c>
      <c r="G7">
        <v>1</v>
      </c>
      <c r="H7">
        <v>1</v>
      </c>
      <c r="I7">
        <v>6</v>
      </c>
      <c r="J7">
        <f>B6</f>
        <v>150</v>
      </c>
      <c r="L7">
        <f t="shared" si="0"/>
        <v>900</v>
      </c>
    </row>
    <row r="8" spans="1:15" x14ac:dyDescent="0.25">
      <c r="C8" s="4"/>
      <c r="D8" s="4">
        <v>4</v>
      </c>
      <c r="E8" s="1">
        <v>200</v>
      </c>
      <c r="G8">
        <v>4</v>
      </c>
      <c r="H8">
        <v>1</v>
      </c>
      <c r="I8">
        <v>4</v>
      </c>
      <c r="J8">
        <f>B5</f>
        <v>215</v>
      </c>
      <c r="L8">
        <f t="shared" si="0"/>
        <v>860</v>
      </c>
      <c r="N8" t="s">
        <v>28</v>
      </c>
    </row>
    <row r="9" spans="1:15" x14ac:dyDescent="0.25">
      <c r="A9" t="s">
        <v>7</v>
      </c>
      <c r="C9" s="4"/>
      <c r="D9" s="4"/>
      <c r="E9" s="1"/>
      <c r="G9">
        <v>5</v>
      </c>
      <c r="H9">
        <v>2</v>
      </c>
      <c r="I9">
        <v>2</v>
      </c>
      <c r="J9">
        <f>B3</f>
        <v>200</v>
      </c>
      <c r="L9">
        <f t="shared" si="0"/>
        <v>400</v>
      </c>
      <c r="M9">
        <v>0</v>
      </c>
      <c r="N9" s="5">
        <v>10</v>
      </c>
      <c r="O9" t="s">
        <v>17</v>
      </c>
    </row>
    <row r="10" spans="1:15" x14ac:dyDescent="0.25">
      <c r="D10" s="4"/>
      <c r="E10" s="1"/>
      <c r="G10" s="2">
        <v>0</v>
      </c>
      <c r="M10">
        <v>1</v>
      </c>
      <c r="N10" s="5">
        <v>2</v>
      </c>
      <c r="O10" t="s">
        <v>18</v>
      </c>
    </row>
    <row r="11" spans="1:15" x14ac:dyDescent="0.25">
      <c r="D11" s="4"/>
      <c r="E11" s="1"/>
      <c r="G11" t="s">
        <v>6</v>
      </c>
      <c r="L11">
        <f>SUM(L3:L9)</f>
        <v>6025</v>
      </c>
      <c r="M11">
        <v>2</v>
      </c>
      <c r="N11" s="5">
        <v>3</v>
      </c>
      <c r="O11" t="s">
        <v>19</v>
      </c>
    </row>
    <row r="12" spans="1:15" x14ac:dyDescent="0.25">
      <c r="E12" s="1"/>
      <c r="M12">
        <v>3</v>
      </c>
      <c r="N12" s="5">
        <v>6</v>
      </c>
      <c r="O12" t="s">
        <v>20</v>
      </c>
    </row>
    <row r="13" spans="1:15" x14ac:dyDescent="0.25">
      <c r="M13">
        <v>4</v>
      </c>
      <c r="N13" s="5">
        <v>7</v>
      </c>
      <c r="O13" t="s">
        <v>21</v>
      </c>
    </row>
    <row r="15" spans="1:15" x14ac:dyDescent="0.25">
      <c r="A15" t="s">
        <v>0</v>
      </c>
    </row>
    <row r="16" spans="1:15" x14ac:dyDescent="0.25">
      <c r="A16" s="3" t="s">
        <v>1</v>
      </c>
      <c r="B16" s="3" t="s">
        <v>2</v>
      </c>
    </row>
    <row r="17" spans="1:13" x14ac:dyDescent="0.25">
      <c r="A17">
        <v>4</v>
      </c>
      <c r="B17">
        <v>150</v>
      </c>
    </row>
    <row r="18" spans="1:13" x14ac:dyDescent="0.25">
      <c r="A18">
        <v>6</v>
      </c>
      <c r="B18">
        <v>200</v>
      </c>
    </row>
    <row r="19" spans="1:13" x14ac:dyDescent="0.25">
      <c r="A19">
        <v>11</v>
      </c>
      <c r="B19">
        <v>175</v>
      </c>
    </row>
    <row r="20" spans="1:13" x14ac:dyDescent="0.25">
      <c r="A20">
        <v>17</v>
      </c>
      <c r="B20">
        <v>215</v>
      </c>
    </row>
    <row r="21" spans="1:13" x14ac:dyDescent="0.25">
      <c r="A21">
        <v>22</v>
      </c>
      <c r="B21">
        <v>320</v>
      </c>
    </row>
    <row r="26" spans="1:13" x14ac:dyDescent="0.25">
      <c r="G26" t="s">
        <v>22</v>
      </c>
      <c r="H26" t="s">
        <v>23</v>
      </c>
      <c r="I26" t="s">
        <v>24</v>
      </c>
      <c r="L26" t="s">
        <v>25</v>
      </c>
      <c r="M26" t="s">
        <v>26</v>
      </c>
    </row>
    <row r="27" spans="1:13" x14ac:dyDescent="0.25">
      <c r="H27">
        <v>20</v>
      </c>
      <c r="L27">
        <v>20</v>
      </c>
    </row>
    <row r="28" spans="1:13" x14ac:dyDescent="0.25">
      <c r="H28">
        <v>15</v>
      </c>
      <c r="L28">
        <v>15</v>
      </c>
    </row>
    <row r="29" spans="1:13" x14ac:dyDescent="0.25">
      <c r="H29">
        <v>2</v>
      </c>
      <c r="L29">
        <v>2</v>
      </c>
    </row>
    <row r="30" spans="1:13" x14ac:dyDescent="0.25">
      <c r="H30">
        <v>6</v>
      </c>
      <c r="L30">
        <v>6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3"/>
  <sheetViews>
    <sheetView tabSelected="1" zoomScale="175" zoomScaleNormal="175" workbookViewId="0">
      <selection activeCell="F6" sqref="E5:F6"/>
    </sheetView>
  </sheetViews>
  <sheetFormatPr baseColWidth="10" defaultRowHeight="15" x14ac:dyDescent="0.25"/>
  <cols>
    <col min="2" max="2" width="3.85546875" customWidth="1"/>
    <col min="3" max="3" width="3.28515625" customWidth="1"/>
    <col min="4" max="4" width="3.5703125" customWidth="1"/>
    <col min="5" max="5" width="4.85546875" customWidth="1"/>
    <col min="6" max="6" width="5" customWidth="1"/>
  </cols>
  <sheetData>
    <row r="2" spans="1:6" x14ac:dyDescent="0.25">
      <c r="A2">
        <v>0</v>
      </c>
      <c r="B2" s="1">
        <v>8</v>
      </c>
      <c r="D2">
        <v>4</v>
      </c>
      <c r="E2">
        <v>4</v>
      </c>
      <c r="F2">
        <v>1</v>
      </c>
    </row>
    <row r="3" spans="1:6" x14ac:dyDescent="0.25">
      <c r="A3">
        <v>1</v>
      </c>
      <c r="B3" s="1">
        <v>4</v>
      </c>
      <c r="D3">
        <v>6</v>
      </c>
      <c r="E3">
        <v>1</v>
      </c>
      <c r="F3">
        <v>4</v>
      </c>
    </row>
    <row r="4" spans="1:6" x14ac:dyDescent="0.25">
      <c r="A4">
        <v>2</v>
      </c>
      <c r="B4" s="1">
        <v>6</v>
      </c>
      <c r="D4">
        <v>1</v>
      </c>
      <c r="E4">
        <v>6</v>
      </c>
      <c r="F4">
        <v>6</v>
      </c>
    </row>
    <row r="5" spans="1:6" x14ac:dyDescent="0.25">
      <c r="A5">
        <v>3</v>
      </c>
      <c r="B5" s="1">
        <v>1</v>
      </c>
      <c r="D5">
        <v>7</v>
      </c>
      <c r="E5">
        <v>7</v>
      </c>
      <c r="F5">
        <v>7</v>
      </c>
    </row>
    <row r="6" spans="1:6" x14ac:dyDescent="0.25">
      <c r="A6">
        <v>4</v>
      </c>
      <c r="B6" s="1">
        <v>7</v>
      </c>
      <c r="D6">
        <v>8</v>
      </c>
      <c r="E6">
        <v>8</v>
      </c>
      <c r="F6">
        <v>8</v>
      </c>
    </row>
    <row r="9" spans="1:6" x14ac:dyDescent="0.25">
      <c r="B9" s="1">
        <v>1</v>
      </c>
    </row>
    <row r="10" spans="1:6" x14ac:dyDescent="0.25">
      <c r="B10" s="1">
        <v>4</v>
      </c>
    </row>
    <row r="11" spans="1:6" x14ac:dyDescent="0.25">
      <c r="B11" s="1">
        <v>6</v>
      </c>
    </row>
    <row r="12" spans="1:6" x14ac:dyDescent="0.25">
      <c r="B12" s="1">
        <v>7</v>
      </c>
    </row>
    <row r="13" spans="1:6" x14ac:dyDescent="0.25">
      <c r="B13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Ariel Sebastian Tapia</cp:lastModifiedBy>
  <dcterms:created xsi:type="dcterms:W3CDTF">2026-06-05T21:13:24Z</dcterms:created>
  <dcterms:modified xsi:type="dcterms:W3CDTF">2026-06-09T09:21:29Z</dcterms:modified>
</cp:coreProperties>
</file>